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xr:revisionPtr revIDLastSave="0" documentId="8_{3513270A-6B38-4CF4-8E11-668A3A9021CD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ГУ1" sheetId="1" r:id="rId1"/>
    <sheet name="ГУ2" sheetId="2" r:id="rId2"/>
    <sheet name="ГУ3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3" l="1"/>
  <c r="C4" i="3" l="1"/>
  <c r="B18" i="3" s="1"/>
  <c r="B17" i="3" s="1"/>
  <c r="C5" i="3"/>
  <c r="L16" i="3" s="1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F13" i="3"/>
  <c r="J16" i="3"/>
  <c r="K16" i="3"/>
  <c r="P16" i="3"/>
  <c r="Q16" i="3"/>
  <c r="V16" i="3"/>
  <c r="W16" i="3"/>
  <c r="AB16" i="3"/>
  <c r="AC16" i="3"/>
  <c r="AH16" i="3"/>
  <c r="AI16" i="3"/>
  <c r="C4" i="2"/>
  <c r="L17" i="2" s="1"/>
  <c r="C5" i="2"/>
  <c r="L16" i="2" s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F13" i="2"/>
  <c r="G17" i="2" s="1"/>
  <c r="AJ13" i="2"/>
  <c r="J16" i="2"/>
  <c r="K16" i="2"/>
  <c r="P16" i="2"/>
  <c r="Q16" i="2"/>
  <c r="V16" i="2"/>
  <c r="W16" i="2"/>
  <c r="AB16" i="2"/>
  <c r="AC16" i="2"/>
  <c r="AH16" i="2"/>
  <c r="AI16" i="2"/>
  <c r="F17" i="2"/>
  <c r="I17" i="2"/>
  <c r="J17" i="2"/>
  <c r="K17" i="2"/>
  <c r="O17" i="2"/>
  <c r="P17" i="2"/>
  <c r="Q17" i="2"/>
  <c r="U17" i="2"/>
  <c r="V17" i="2"/>
  <c r="W17" i="2"/>
  <c r="AA17" i="2"/>
  <c r="AB17" i="2"/>
  <c r="AC17" i="2"/>
  <c r="AG17" i="2"/>
  <c r="AH17" i="2"/>
  <c r="AI17" i="2"/>
  <c r="AG16" i="3" l="1"/>
  <c r="AA16" i="3"/>
  <c r="U16" i="3"/>
  <c r="O16" i="3"/>
  <c r="I16" i="3"/>
  <c r="B19" i="3"/>
  <c r="B20" i="3" s="1"/>
  <c r="AF16" i="3"/>
  <c r="Z16" i="3"/>
  <c r="T16" i="3"/>
  <c r="N16" i="3"/>
  <c r="H16" i="3"/>
  <c r="AE16" i="3"/>
  <c r="Y16" i="3"/>
  <c r="S16" i="3"/>
  <c r="M16" i="3"/>
  <c r="G16" i="3"/>
  <c r="AD16" i="3"/>
  <c r="X16" i="3"/>
  <c r="R16" i="3"/>
  <c r="AG16" i="2"/>
  <c r="AA16" i="2"/>
  <c r="U16" i="2"/>
  <c r="O16" i="2"/>
  <c r="I16" i="2"/>
  <c r="AF17" i="2"/>
  <c r="Z17" i="2"/>
  <c r="T17" i="2"/>
  <c r="N17" i="2"/>
  <c r="H17" i="2"/>
  <c r="AF16" i="2"/>
  <c r="Z16" i="2"/>
  <c r="T16" i="2"/>
  <c r="N16" i="2"/>
  <c r="H16" i="2"/>
  <c r="AE17" i="2"/>
  <c r="Y17" i="2"/>
  <c r="S17" i="2"/>
  <c r="M17" i="2"/>
  <c r="AE16" i="2"/>
  <c r="Y16" i="2"/>
  <c r="S16" i="2"/>
  <c r="M16" i="2"/>
  <c r="G16" i="2"/>
  <c r="AD17" i="2"/>
  <c r="X17" i="2"/>
  <c r="R17" i="2"/>
  <c r="AD16" i="2"/>
  <c r="X16" i="2"/>
  <c r="R16" i="2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F13" i="1"/>
  <c r="AG12" i="1"/>
  <c r="AH12" i="1"/>
  <c r="AI12" i="1"/>
  <c r="AJ12" i="1" s="1"/>
  <c r="H12" i="1"/>
  <c r="I12" i="1"/>
  <c r="J12" i="1"/>
  <c r="K12" i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C4" i="1"/>
  <c r="G12" i="1"/>
</calcChain>
</file>

<file path=xl/sharedStrings.xml><?xml version="1.0" encoding="utf-8"?>
<sst xmlns="http://schemas.openxmlformats.org/spreadsheetml/2006/main" count="38" uniqueCount="16">
  <si>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</si>
  <si>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</si>
  <si>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</si>
  <si>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</si>
  <si>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</si>
  <si>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</si>
  <si>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</si>
  <si>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</si>
  <si>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</si>
  <si>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</si>
  <si>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</si>
  <si>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</si>
  <si>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r0</t>
  </si>
  <si>
    <t>a</t>
  </si>
  <si>
    <t>T_gas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</si>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</sst>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B738EA"/>
      <color rgb="FFE7FD87"/>
      <color rgb="FFFF63C4"/>
      <color rgb="FFBED3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358705161854769E-2"/>
          <c:y val="6.4814814814814811E-2"/>
          <c:w val="0.86807874015748032"/>
          <c:h val="0.8981481481481481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ГУ1!$F$12:$AJ$12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81-47A4-88B9-612A68154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135615"/>
        <c:axId val="1593144351"/>
      </c:scatterChart>
      <c:valAx>
        <c:axId val="159313561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93144351"/>
        <c:crosses val="autoZero"/>
        <c:crossBetween val="midCat"/>
      </c:valAx>
      <c:valAx>
        <c:axId val="159314435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93135615"/>
        <c:crosses val="autoZero"/>
        <c:crossBetween val="midCat"/>
      </c:valAx>
      <c:spPr>
        <a:noFill/>
        <a:ln w="0">
          <a:solidFill>
            <a:schemeClr val="accent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'[1]ГУ 1 рода'!$F$12:$AJ$12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DA-4C05-8CD1-24223D030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ГУ3!$F$12:$AJ$12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ГУ3!$F$13:$AJ$13</c:f>
              <c:numCache>
                <c:formatCode>0.000</c:formatCode>
                <c:ptCount val="31"/>
                <c:pt idx="0">
                  <c:v>1121.8713530164275</c:v>
                </c:pt>
                <c:pt idx="1">
                  <c:v>1127.8269425310393</c:v>
                </c:pt>
                <c:pt idx="2">
                  <c:v>1133.7810588240636</c:v>
                </c:pt>
                <c:pt idx="3">
                  <c:v>1139.7336961632354</c:v>
                </c:pt>
                <c:pt idx="4">
                  <c:v>1145.6848537016092</c:v>
                </c:pt>
                <c:pt idx="5">
                  <c:v>1151.6345354804885</c:v>
                </c:pt>
                <c:pt idx="6">
                  <c:v>1157.5827504158829</c:v>
                </c:pt>
                <c:pt idx="7">
                  <c:v>1163.5295122693087</c:v>
                </c:pt>
                <c:pt idx="8">
                  <c:v>1169.4748396020218</c:v>
                </c:pt>
                <c:pt idx="9">
                  <c:v>1175.4187557140672</c:v>
                </c:pt>
                <c:pt idx="10">
                  <c:v>1181.3612885669031</c:v>
                </c:pt>
                <c:pt idx="11">
                  <c:v>1187.3024706914894</c:v>
                </c:pt>
                <c:pt idx="12">
                  <c:v>1193.2423390803383</c:v>
                </c:pt>
                <c:pt idx="13">
                  <c:v>1199.1809350658436</c:v>
                </c:pt>
                <c:pt idx="14">
                  <c:v>1205.118304183196</c:v>
                </c:pt>
                <c:pt idx="15">
                  <c:v>1211.054496020543</c:v>
                </c:pt>
                <c:pt idx="16">
                  <c:v>1216.9895640545958</c:v>
                </c:pt>
                <c:pt idx="17">
                  <c:v>1222.923565474583</c:v>
                </c:pt>
                <c:pt idx="18">
                  <c:v>1228.8565609927346</c:v>
                </c:pt>
                <c:pt idx="19">
                  <c:v>1234.7886146443348</c:v>
                </c:pt>
                <c:pt idx="20">
                  <c:v>1240.7197935756071</c:v>
                </c:pt>
                <c:pt idx="21">
                  <c:v>1246.6501678224852</c:v>
                </c:pt>
                <c:pt idx="22">
                  <c:v>1252.5798100787165</c:v>
                </c:pt>
                <c:pt idx="23">
                  <c:v>1258.5087954562559</c:v>
                </c:pt>
                <c:pt idx="24">
                  <c:v>1264.4372012366675</c:v>
                </c:pt>
                <c:pt idx="25">
                  <c:v>1270.3651066162856</c:v>
                </c:pt>
                <c:pt idx="26">
                  <c:v>1276.2925924442134</c:v>
                </c:pt>
                <c:pt idx="27">
                  <c:v>1282.2197409556002</c:v>
                </c:pt>
                <c:pt idx="28">
                  <c:v>1288.1466354997119</c:v>
                </c:pt>
                <c:pt idx="29">
                  <c:v>1294.0733602648313</c:v>
                </c:pt>
                <c:pt idx="30">
                  <c:v>1300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B1-4EAC-BFBA-4EC2A1E1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476249</xdr:colOff>
      <xdr:row>18</xdr:row>
      <xdr:rowOff>112059</xdr:rowOff>
    </xdr:from>
    <xdr:to>
      <xdr:col>21</xdr:col>
      <xdr:colOff>231320</xdr:colOff>
      <xdr:row>53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0867E73-27C4-4759-AE8F-17BAD93C1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24652</xdr:colOff>
      <xdr:row>18</xdr:row>
      <xdr:rowOff>149679</xdr:rowOff>
    </xdr:from>
    <xdr:ext cx="64209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0852CC1-1201-437C-A8F9-28046A3CFD7E}"/>
                </a:ext>
              </a:extLst>
            </xdr:cNvPr>
            <xdr:cNvSpPr txBox="1"/>
          </xdr:nvSpPr>
          <xdr:spPr>
            <a:xfrm>
              <a:off x="4787152" y="3578679"/>
              <a:ext cx="64209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(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0852CC1-1201-437C-A8F9-28046A3CFD7E}"/>
                </a:ext>
              </a:extLst>
            </xdr:cNvPr>
            <xdr:cNvSpPr txBox="1"/>
          </xdr:nvSpPr>
          <xdr:spPr>
            <a:xfrm>
              <a:off x="4787152" y="3578679"/>
              <a:ext cx="64209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𝑻, (𝑪)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20</xdr:col>
      <xdr:colOff>134710</xdr:colOff>
      <xdr:row>50</xdr:row>
      <xdr:rowOff>161924</xdr:rowOff>
    </xdr:from>
    <xdr:ext cx="594522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E6BCB3-6285-48A9-9B17-EE292C022C84}"/>
                </a:ext>
              </a:extLst>
            </xdr:cNvPr>
            <xdr:cNvSpPr txBox="1"/>
          </xdr:nvSpPr>
          <xdr:spPr>
            <a:xfrm>
              <a:off x="10135960" y="9686924"/>
              <a:ext cx="594522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panose="02040503050406030204" pitchFamily="18" charset="0"/>
                      </a:rPr>
                      <m:t>𝐋</m:t>
                    </m:r>
                    <m:r>
                      <a:rPr lang="en-US" sz="1600" b="1" i="0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𝐦</m:t>
                        </m:r>
                      </m:e>
                    </m:d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E6BCB3-6285-48A9-9B17-EE292C022C84}"/>
                </a:ext>
              </a:extLst>
            </xdr:cNvPr>
            <xdr:cNvSpPr txBox="1"/>
          </xdr:nvSpPr>
          <xdr:spPr>
            <a:xfrm>
              <a:off x="10135960" y="9686924"/>
              <a:ext cx="594522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𝐋, (𝐦)</a:t>
              </a:r>
              <a:endParaRPr lang="en-US" sz="1600" b="1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22</xdr:row>
      <xdr:rowOff>135081</xdr:rowOff>
    </xdr:from>
    <xdr:to>
      <xdr:col>11</xdr:col>
      <xdr:colOff>588819</xdr:colOff>
      <xdr:row>46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6B5CFB5-E606-4204-9396-B54383CD0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283716</xdr:colOff>
      <xdr:row>21</xdr:row>
      <xdr:rowOff>97734</xdr:rowOff>
    </xdr:from>
    <xdr:ext cx="56713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CB76832-4294-43A7-8F54-0C947AA0EBC0}"/>
                </a:ext>
              </a:extLst>
            </xdr:cNvPr>
            <xdr:cNvSpPr txBox="1"/>
          </xdr:nvSpPr>
          <xdr:spPr>
            <a:xfrm>
              <a:off x="3314398" y="4098234"/>
              <a:ext cx="56713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</m:oMath>
                </m:oMathPara>
              </a14:m>
              <a:endParaRPr lang="en-US" sz="1800" b="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CB76832-4294-43A7-8F54-0C947AA0EBC0}"/>
                </a:ext>
              </a:extLst>
            </xdr:cNvPr>
            <xdr:cNvSpPr txBox="1"/>
          </xdr:nvSpPr>
          <xdr:spPr>
            <a:xfrm>
              <a:off x="3314398" y="4098234"/>
              <a:ext cx="56713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𝑇,(𝐶)</a:t>
              </a:r>
              <a:endParaRPr lang="en-US" sz="1800" b="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906F411-603D-4C2C-B858-D0E2394BB91B}"/>
                </a:ext>
              </a:extLst>
            </xdr:cNvPr>
            <xdr:cNvSpPr txBox="1"/>
          </xdr:nvSpPr>
          <xdr:spPr>
            <a:xfrm>
              <a:off x="7022118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906F411-603D-4C2C-B858-D0E2394BB91B}"/>
                </a:ext>
              </a:extLst>
            </xdr:cNvPr>
            <xdr:cNvSpPr txBox="1"/>
          </xdr:nvSpPr>
          <xdr:spPr>
            <a:xfrm>
              <a:off x="7022118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10930</xdr:colOff>
      <xdr:row>18</xdr:row>
      <xdr:rowOff>97605</xdr:rowOff>
    </xdr:from>
    <xdr:to>
      <xdr:col>19</xdr:col>
      <xdr:colOff>588250</xdr:colOff>
      <xdr:row>44</xdr:row>
      <xdr:rowOff>49114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6B7F53B-53D6-4080-97EE-6929A9C88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98327</xdr:colOff>
      <xdr:row>18</xdr:row>
      <xdr:rowOff>121866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0C2ADF0-29A3-4249-B643-E4016B3DFD85}"/>
                </a:ext>
              </a:extLst>
            </xdr:cNvPr>
            <xdr:cNvSpPr txBox="1"/>
          </xdr:nvSpPr>
          <xdr:spPr>
            <a:xfrm>
              <a:off x="9217343" y="3494653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0C2ADF0-29A3-4249-B643-E4016B3DFD85}"/>
                </a:ext>
              </a:extLst>
            </xdr:cNvPr>
            <xdr:cNvSpPr txBox="1"/>
          </xdr:nvSpPr>
          <xdr:spPr>
            <a:xfrm>
              <a:off x="9217343" y="3494653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18</xdr:col>
      <xdr:colOff>733827</xdr:colOff>
      <xdr:row>42</xdr:row>
      <xdr:rowOff>78604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3F6375-7EE3-485E-AE32-68E2479B6A67}"/>
                </a:ext>
              </a:extLst>
            </xdr:cNvPr>
            <xdr:cNvSpPr txBox="1"/>
          </xdr:nvSpPr>
          <xdr:spPr>
            <a:xfrm>
              <a:off x="13608999" y="7803707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3F6375-7EE3-485E-AE32-68E2479B6A67}"/>
                </a:ext>
              </a:extLst>
            </xdr:cNvPr>
            <xdr:cNvSpPr txBox="1"/>
          </xdr:nvSpPr>
          <xdr:spPr>
            <a:xfrm>
              <a:off x="13608999" y="7803707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cha/Desktop/MSS%20&#8470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293.28624346693624</v>
          </cell>
          <cell r="H13">
            <v>286.57351596044163</v>
          </cell>
          <cell r="I13">
            <v>279.86078845394701</v>
          </cell>
          <cell r="J13">
            <v>273.15110305375981</v>
          </cell>
          <cell r="K13">
            <v>266.44141765357256</v>
          </cell>
          <cell r="L13">
            <v>259.73665448478408</v>
          </cell>
          <cell r="M13">
            <v>253.03189131599561</v>
          </cell>
          <cell r="N13">
            <v>246.33371537856041</v>
          </cell>
          <cell r="O13">
            <v>239.63553944112522</v>
          </cell>
          <cell r="P13">
            <v>232.9453278413726</v>
          </cell>
          <cell r="Q13">
            <v>226.25511624161999</v>
          </cell>
          <cell r="R13">
            <v>219.57389800609968</v>
          </cell>
          <cell r="S13">
            <v>212.89267977057938</v>
          </cell>
          <cell r="T13">
            <v>206.22109087266466</v>
          </cell>
          <cell r="U13">
            <v>199.54950197474994</v>
          </cell>
          <cell r="V13">
            <v>192.88775753955161</v>
          </cell>
          <cell r="W13">
            <v>186.22601310435331</v>
          </cell>
          <cell r="X13">
            <v>179.57389800672252</v>
          </cell>
          <cell r="Y13">
            <v>172.92178290909169</v>
          </cell>
          <cell r="Z13">
            <v>166.2786611756236</v>
          </cell>
          <cell r="AA13">
            <v>159.6355394421555</v>
          </cell>
          <cell r="AB13">
            <v>153.00038204628092</v>
          </cell>
          <cell r="AC13">
            <v>146.36522465040633</v>
          </cell>
          <cell r="AD13">
            <v>139.73665448579186</v>
          </cell>
          <cell r="AE13">
            <v>133.10808432117742</v>
          </cell>
          <cell r="AF13">
            <v>126.48443638788059</v>
          </cell>
          <cell r="AG13">
            <v>119.86078845458377</v>
          </cell>
          <cell r="AH13">
            <v>113.24018262753927</v>
          </cell>
          <cell r="AI13">
            <v>106.61957680049478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AJ24"/>
  <sheetViews>
    <sheetView zoomScale="70" zoomScaleNormal="70" workbookViewId="0">
      <selection activeCell="E34" sqref="E34"/>
    </sheetView>
  </sheetViews>
  <sheetFormatPr defaultRowHeight="14.4" x14ac:dyDescent="0.3"/>
  <cols>
    <col min="6" max="6" width="4" bestFit="1" customWidth="1"/>
    <col min="7" max="36" width="7.109375" bestFit="1" customWidth="1"/>
  </cols>
  <sheetData>
    <row r="1" spans="2:36" x14ac:dyDescent="0.3">
      <c r="E1" s="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2:36" x14ac:dyDescent="0.3"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2:36" x14ac:dyDescent="0.3">
      <c r="B3" s="4" t="s">
        <v>0</v>
      </c>
      <c r="C3" s="4">
        <v>0.1</v>
      </c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2:36" x14ac:dyDescent="0.3">
      <c r="B4" s="4" t="s">
        <v>1</v>
      </c>
      <c r="C4" s="5">
        <f>C3/30</f>
        <v>3.3333333333333335E-3</v>
      </c>
      <c r="E4" s="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2:36" x14ac:dyDescent="0.3">
      <c r="B5" s="4" t="s">
        <v>2</v>
      </c>
      <c r="C5" s="5">
        <f>(C9*C8*C4^2)/(2*C10)</f>
        <v>0.4333333333333334</v>
      </c>
      <c r="E5" s="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2:36" x14ac:dyDescent="0.3">
      <c r="B6" s="4" t="s">
        <v>3</v>
      </c>
      <c r="C6" s="4">
        <v>5000</v>
      </c>
      <c r="D6">
        <v>5000.2333333333345</v>
      </c>
      <c r="E6" s="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2:36" x14ac:dyDescent="0.3">
      <c r="E7" s="1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2:36" x14ac:dyDescent="0.3">
      <c r="B8" s="4" t="s">
        <v>4</v>
      </c>
      <c r="C8" s="4">
        <v>460</v>
      </c>
      <c r="E8" s="1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2:36" x14ac:dyDescent="0.3">
      <c r="B9" s="4" t="s">
        <v>5</v>
      </c>
      <c r="C9" s="4">
        <v>7800</v>
      </c>
      <c r="E9" s="1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2:36" x14ac:dyDescent="0.3">
      <c r="B10" s="4" t="s">
        <v>6</v>
      </c>
      <c r="C10" s="4">
        <v>46</v>
      </c>
      <c r="E10" s="1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2:36" x14ac:dyDescent="0.3">
      <c r="E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4" t="s">
        <v>8</v>
      </c>
      <c r="C12" s="4">
        <v>300</v>
      </c>
      <c r="E12" s="1" t="s">
        <v>0</v>
      </c>
      <c r="F12" s="2">
        <v>0</v>
      </c>
      <c r="G12" s="3">
        <f>F12+$C$4</f>
        <v>3.3333333333333335E-3</v>
      </c>
      <c r="H12" s="3">
        <f t="shared" ref="H12:AF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ref="AG12:AJ12" si="1">AF12+$C$4</f>
        <v>8.9999999999999955E-2</v>
      </c>
      <c r="AH12" s="3">
        <f t="shared" si="1"/>
        <v>9.3333333333333282E-2</v>
      </c>
      <c r="AI12" s="3">
        <f t="shared" si="1"/>
        <v>9.6666666666666609E-2</v>
      </c>
      <c r="AJ12" s="3">
        <f t="shared" si="1"/>
        <v>9.9999999999999936E-2</v>
      </c>
    </row>
    <row r="13" spans="2:36" x14ac:dyDescent="0.3">
      <c r="B13" s="4" t="s">
        <v>9</v>
      </c>
      <c r="C13" s="4">
        <v>100</v>
      </c>
      <c r="E13" s="1" t="s">
        <v>7</v>
      </c>
      <c r="F13" s="2">
        <f>C12</f>
        <v>300</v>
      </c>
      <c r="G13" s="2">
        <v>293.33333333333297</v>
      </c>
      <c r="H13" s="2">
        <v>286.66666666666595</v>
      </c>
      <c r="I13" s="2">
        <v>279.99999999999898</v>
      </c>
      <c r="J13" s="2">
        <v>273.33333333333206</v>
      </c>
      <c r="K13" s="2">
        <v>266.66666666666515</v>
      </c>
      <c r="L13" s="2">
        <v>259.99999999999829</v>
      </c>
      <c r="M13" s="2">
        <v>253.3333333333315</v>
      </c>
      <c r="N13" s="2">
        <v>246.66666666666472</v>
      </c>
      <c r="O13" s="2">
        <v>239.99999999999795</v>
      </c>
      <c r="P13" s="2">
        <v>233.33333333333121</v>
      </c>
      <c r="Q13" s="2">
        <v>226.6666666666645</v>
      </c>
      <c r="R13" s="2">
        <v>219.99999999999778</v>
      </c>
      <c r="S13" s="2">
        <v>213.3333333333311</v>
      </c>
      <c r="T13" s="2">
        <v>206.66666666666444</v>
      </c>
      <c r="U13" s="2">
        <v>199.99999999999778</v>
      </c>
      <c r="V13" s="2">
        <v>193.33333333333115</v>
      </c>
      <c r="W13" s="2">
        <v>186.66666666666453</v>
      </c>
      <c r="X13" s="2">
        <v>179.99999999999793</v>
      </c>
      <c r="Y13" s="2">
        <v>173.33333333333132</v>
      </c>
      <c r="Z13" s="2">
        <v>166.66666666666475</v>
      </c>
      <c r="AA13" s="2">
        <v>159.99999999999821</v>
      </c>
      <c r="AB13" s="2">
        <v>153.33333333333167</v>
      </c>
      <c r="AC13" s="2">
        <v>146.66666666666515</v>
      </c>
      <c r="AD13" s="2">
        <v>139.99999999999866</v>
      </c>
      <c r="AE13" s="2">
        <v>133.33333333333218</v>
      </c>
      <c r="AF13" s="2">
        <v>126.66666666666573</v>
      </c>
      <c r="AG13" s="2">
        <v>119.99999999999929</v>
      </c>
      <c r="AH13" s="2">
        <v>113.33333333333286</v>
      </c>
      <c r="AI13" s="2">
        <v>106.66666666666643</v>
      </c>
      <c r="AJ13" s="2">
        <v>100</v>
      </c>
    </row>
    <row r="14" spans="2:36" x14ac:dyDescent="0.3">
      <c r="E14" s="1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2:36" x14ac:dyDescent="0.3">
      <c r="E15" s="1" t="s">
        <v>10</v>
      </c>
      <c r="F15" s="2"/>
      <c r="G15" s="2">
        <f>G13+(($C$10*$C$5)/($C$9*$C$8))*((H13-2*G13+F13)/($C$4^2))</f>
        <v>293.33333333333297</v>
      </c>
      <c r="H15" s="2">
        <f t="shared" ref="H15:AI15" si="2">H13+(($C$10*$C$5)/($C$9*$C$8))*((I13-2*H13+G13)/($C$4^2))</f>
        <v>286.66666666666595</v>
      </c>
      <c r="I15" s="2">
        <f t="shared" si="2"/>
        <v>279.99999999999898</v>
      </c>
      <c r="J15" s="2">
        <f t="shared" si="2"/>
        <v>273.33333333333206</v>
      </c>
      <c r="K15" s="2">
        <f t="shared" si="2"/>
        <v>266.66666666666515</v>
      </c>
      <c r="L15" s="2">
        <f t="shared" si="2"/>
        <v>259.99999999999829</v>
      </c>
      <c r="M15" s="2">
        <f t="shared" si="2"/>
        <v>253.3333333333315</v>
      </c>
      <c r="N15" s="2">
        <f t="shared" si="2"/>
        <v>246.66666666666472</v>
      </c>
      <c r="O15" s="2">
        <f t="shared" si="2"/>
        <v>239.99999999999795</v>
      </c>
      <c r="P15" s="2">
        <f t="shared" si="2"/>
        <v>233.33333333333121</v>
      </c>
      <c r="Q15" s="2">
        <f t="shared" si="2"/>
        <v>226.6666666666645</v>
      </c>
      <c r="R15" s="2">
        <f t="shared" si="2"/>
        <v>219.99999999999778</v>
      </c>
      <c r="S15" s="2">
        <f t="shared" si="2"/>
        <v>213.3333333333311</v>
      </c>
      <c r="T15" s="2">
        <f t="shared" si="2"/>
        <v>206.66666666666444</v>
      </c>
      <c r="U15" s="2">
        <f t="shared" si="2"/>
        <v>199.99999999999778</v>
      </c>
      <c r="V15" s="2">
        <f t="shared" si="2"/>
        <v>193.33333333333115</v>
      </c>
      <c r="W15" s="2">
        <f t="shared" si="2"/>
        <v>186.66666666666453</v>
      </c>
      <c r="X15" s="2">
        <f t="shared" si="2"/>
        <v>179.99999999999793</v>
      </c>
      <c r="Y15" s="2">
        <f t="shared" si="2"/>
        <v>173.33333333333132</v>
      </c>
      <c r="Z15" s="2">
        <f t="shared" si="2"/>
        <v>166.66666666666475</v>
      </c>
      <c r="AA15" s="2">
        <f t="shared" si="2"/>
        <v>159.99999999999821</v>
      </c>
      <c r="AB15" s="2">
        <f t="shared" si="2"/>
        <v>153.33333333333167</v>
      </c>
      <c r="AC15" s="2">
        <f t="shared" si="2"/>
        <v>146.66666666666515</v>
      </c>
      <c r="AD15" s="2">
        <f t="shared" si="2"/>
        <v>139.99999999999866</v>
      </c>
      <c r="AE15" s="2">
        <f t="shared" si="2"/>
        <v>133.33333333333218</v>
      </c>
      <c r="AF15" s="2">
        <f t="shared" si="2"/>
        <v>126.66666666666573</v>
      </c>
      <c r="AG15" s="2">
        <f t="shared" si="2"/>
        <v>119.99999999999929</v>
      </c>
      <c r="AH15" s="2">
        <f t="shared" si="2"/>
        <v>113.33333333333286</v>
      </c>
      <c r="AI15" s="2">
        <f t="shared" si="2"/>
        <v>106.66666666666643</v>
      </c>
      <c r="AJ15" s="2"/>
    </row>
    <row r="16" spans="2:36" x14ac:dyDescent="0.3">
      <c r="E16" s="1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5:36" x14ac:dyDescent="0.3">
      <c r="E17" s="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5:36" x14ac:dyDescent="0.3">
      <c r="E18" s="1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5:36" x14ac:dyDescent="0.3">
      <c r="E19" s="1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5:36" x14ac:dyDescent="0.3">
      <c r="E20" s="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5:36" x14ac:dyDescent="0.3">
      <c r="E21" s="1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5:36" x14ac:dyDescent="0.3">
      <c r="E22" s="1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5:36" x14ac:dyDescent="0.3">
      <c r="E23" s="1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5:36" x14ac:dyDescent="0.3">
      <c r="E24" s="1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C0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B95A8-3E71-45B1-8F6D-CAE610FE92D9}">
  <dimension ref="B3:AJ17"/>
  <sheetViews>
    <sheetView zoomScale="55" zoomScaleNormal="55" workbookViewId="0">
      <selection activeCell="D6" sqref="D6"/>
    </sheetView>
  </sheetViews>
  <sheetFormatPr defaultRowHeight="14.4" x14ac:dyDescent="0.3"/>
  <cols>
    <col min="6" max="6" width="11" bestFit="1" customWidth="1"/>
    <col min="7" max="7" width="12.88671875" bestFit="1" customWidth="1"/>
    <col min="8" max="35" width="12.33203125" bestFit="1" customWidth="1"/>
  </cols>
  <sheetData>
    <row r="3" spans="2:36" x14ac:dyDescent="0.3">
      <c r="B3" s="6" t="s">
        <v>0</v>
      </c>
      <c r="C3" s="6">
        <v>0.1</v>
      </c>
    </row>
    <row r="4" spans="2:36" x14ac:dyDescent="0.3">
      <c r="B4" s="6" t="s">
        <v>1</v>
      </c>
      <c r="C4" s="10">
        <f>C3/30</f>
        <v>3.3333333333333335E-3</v>
      </c>
    </row>
    <row r="5" spans="2:36" x14ac:dyDescent="0.3">
      <c r="B5" s="6" t="s">
        <v>2</v>
      </c>
      <c r="C5" s="10">
        <f>(C9*C8*C4^2)/(2*C10)</f>
        <v>0.4333333333333334</v>
      </c>
    </row>
    <row r="6" spans="2:36" x14ac:dyDescent="0.3">
      <c r="B6" s="6" t="s">
        <v>3</v>
      </c>
      <c r="C6" s="6">
        <v>5000</v>
      </c>
      <c r="D6">
        <v>5000.2333333333345</v>
      </c>
    </row>
    <row r="8" spans="2:36" x14ac:dyDescent="0.3">
      <c r="B8" s="6" t="s">
        <v>4</v>
      </c>
      <c r="C8" s="6">
        <v>460</v>
      </c>
    </row>
    <row r="9" spans="2:36" x14ac:dyDescent="0.3">
      <c r="B9" s="6" t="s">
        <v>12</v>
      </c>
      <c r="C9" s="6">
        <v>7800</v>
      </c>
    </row>
    <row r="10" spans="2:36" x14ac:dyDescent="0.3">
      <c r="B10" s="6" t="s">
        <v>6</v>
      </c>
      <c r="C10" s="6">
        <v>46</v>
      </c>
    </row>
    <row r="11" spans="2:36" x14ac:dyDescent="0.3"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2:36" x14ac:dyDescent="0.3">
      <c r="B12" s="6" t="s">
        <v>15</v>
      </c>
      <c r="C12" s="6">
        <v>92000</v>
      </c>
      <c r="E12" t="s">
        <v>0</v>
      </c>
      <c r="F12" s="7">
        <v>0</v>
      </c>
      <c r="G12" s="8">
        <f t="shared" ref="G12:AJ12" si="0">F12+$C$4</f>
        <v>3.3333333333333335E-3</v>
      </c>
      <c r="H12" s="8">
        <f t="shared" si="0"/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2:36" x14ac:dyDescent="0.3">
      <c r="B13" s="6" t="s">
        <v>9</v>
      </c>
      <c r="C13" s="6">
        <v>100</v>
      </c>
      <c r="E13" t="s">
        <v>7</v>
      </c>
      <c r="F13" s="9">
        <f>(F17/C10)*C4+G13</f>
        <v>299.99997763108735</v>
      </c>
      <c r="G13" s="9">
        <v>293.33331096442066</v>
      </c>
      <c r="H13" s="9">
        <v>286.6666443611611</v>
      </c>
      <c r="I13" s="9">
        <v>279.99997782112894</v>
      </c>
      <c r="J13" s="9">
        <v>273.33331134396514</v>
      </c>
      <c r="K13" s="9">
        <v>266.66664492913264</v>
      </c>
      <c r="L13" s="9">
        <v>259.99997857591751</v>
      </c>
      <c r="M13" s="9">
        <v>253.3333122834313</v>
      </c>
      <c r="N13" s="9">
        <v>246.66664605061328</v>
      </c>
      <c r="O13" s="9">
        <v>239.99997987623377</v>
      </c>
      <c r="P13" s="9">
        <v>233.33331375889719</v>
      </c>
      <c r="Q13" s="9">
        <v>226.66664769704656</v>
      </c>
      <c r="R13" s="9">
        <v>219.9999816889673</v>
      </c>
      <c r="S13" s="9">
        <v>213.33331573279273</v>
      </c>
      <c r="T13" s="9">
        <v>206.66664982650872</v>
      </c>
      <c r="U13" s="9">
        <v>199.99998396796005</v>
      </c>
      <c r="V13" s="9">
        <v>193.33331815485587</v>
      </c>
      <c r="W13" s="9">
        <v>186.6666523847768</v>
      </c>
      <c r="X13" s="9">
        <v>179.99998665518126</v>
      </c>
      <c r="Y13" s="9">
        <v>173.33332096341309</v>
      </c>
      <c r="Z13" s="9">
        <v>166.66665530670878</v>
      </c>
      <c r="AA13" s="9">
        <v>159.9999896822055</v>
      </c>
      <c r="AB13" s="9">
        <v>153.33332408694912</v>
      </c>
      <c r="AC13" s="9">
        <v>146.66665851790265</v>
      </c>
      <c r="AD13" s="9">
        <v>139.99999297195473</v>
      </c>
      <c r="AE13" s="9">
        <v>133.33332744592857</v>
      </c>
      <c r="AF13" s="9">
        <v>126.66666193659087</v>
      </c>
      <c r="AG13" s="9">
        <v>119.99999644066111</v>
      </c>
      <c r="AH13" s="9">
        <v>113.3333309548207</v>
      </c>
      <c r="AI13" s="9">
        <v>106.66666547572241</v>
      </c>
      <c r="AJ13" s="9">
        <f>C13</f>
        <v>100</v>
      </c>
    </row>
    <row r="16" spans="2:36" x14ac:dyDescent="0.3">
      <c r="E16" t="s">
        <v>10</v>
      </c>
      <c r="G16" s="9">
        <f t="shared" ref="G16:AI16" si="1">G13+(($C$10*$C$5)/($C$9*$C$8))*( (H13-2*G13+F13)/($C$4^2))</f>
        <v>293.33331099612423</v>
      </c>
      <c r="H16" s="9">
        <f t="shared" si="1"/>
        <v>286.6666443927748</v>
      </c>
      <c r="I16" s="9">
        <f t="shared" si="1"/>
        <v>279.99997785256312</v>
      </c>
      <c r="J16" s="9">
        <f t="shared" si="1"/>
        <v>273.33331137513079</v>
      </c>
      <c r="K16" s="9">
        <f t="shared" si="1"/>
        <v>266.66664495994132</v>
      </c>
      <c r="L16" s="9">
        <f t="shared" si="1"/>
        <v>259.99997860628196</v>
      </c>
      <c r="M16" s="9">
        <f t="shared" si="1"/>
        <v>253.3333123132654</v>
      </c>
      <c r="N16" s="9">
        <f t="shared" si="1"/>
        <v>246.66664607983253</v>
      </c>
      <c r="O16" s="9">
        <f t="shared" si="1"/>
        <v>239.99997990475524</v>
      </c>
      <c r="P16" s="9">
        <f t="shared" si="1"/>
        <v>233.33331378664016</v>
      </c>
      <c r="Q16" s="9">
        <f t="shared" si="1"/>
        <v>226.66664772393224</v>
      </c>
      <c r="R16" s="9">
        <f t="shared" si="1"/>
        <v>219.99998171491964</v>
      </c>
      <c r="S16" s="9">
        <f t="shared" si="1"/>
        <v>213.33331575773801</v>
      </c>
      <c r="T16" s="9">
        <f t="shared" si="1"/>
        <v>206.66664985037639</v>
      </c>
      <c r="U16" s="9">
        <f t="shared" si="1"/>
        <v>199.9999839906823</v>
      </c>
      <c r="V16" s="9">
        <f t="shared" si="1"/>
        <v>193.33331817636844</v>
      </c>
      <c r="W16" s="9">
        <f t="shared" si="1"/>
        <v>186.66665240501857</v>
      </c>
      <c r="X16" s="9">
        <f t="shared" si="1"/>
        <v>179.99998667409494</v>
      </c>
      <c r="Y16" s="9">
        <f t="shared" si="1"/>
        <v>173.33332098094502</v>
      </c>
      <c r="Z16" s="9">
        <f t="shared" si="1"/>
        <v>166.66665532280928</v>
      </c>
      <c r="AA16" s="9">
        <f t="shared" si="1"/>
        <v>159.99998969682895</v>
      </c>
      <c r="AB16" s="9">
        <f t="shared" si="1"/>
        <v>153.33332410005409</v>
      </c>
      <c r="AC16" s="9">
        <f t="shared" si="1"/>
        <v>146.66665852945192</v>
      </c>
      <c r="AD16" s="9">
        <f t="shared" si="1"/>
        <v>139.99999298191563</v>
      </c>
      <c r="AE16" s="9">
        <f t="shared" si="1"/>
        <v>133.33332745427279</v>
      </c>
      <c r="AF16" s="9">
        <f t="shared" si="1"/>
        <v>126.66666194329484</v>
      </c>
      <c r="AG16" s="9">
        <f t="shared" si="1"/>
        <v>119.99999644570579</v>
      </c>
      <c r="AH16" s="9">
        <f t="shared" si="1"/>
        <v>113.33333095819177</v>
      </c>
      <c r="AI16" s="9">
        <f t="shared" si="1"/>
        <v>106.66666547741035</v>
      </c>
    </row>
    <row r="17" spans="5:35" x14ac:dyDescent="0.3">
      <c r="E17" t="s">
        <v>11</v>
      </c>
      <c r="F17" s="9">
        <f>C12</f>
        <v>92000</v>
      </c>
      <c r="G17" s="9">
        <f t="shared" ref="G17:AI17" si="2">-$C$10*((G13-F13)/$C$4)</f>
        <v>92000.000000000247</v>
      </c>
      <c r="H17" s="9">
        <f t="shared" si="2"/>
        <v>91999.999124981885</v>
      </c>
      <c r="I17" s="9">
        <f t="shared" si="2"/>
        <v>91999.998252443896</v>
      </c>
      <c r="J17" s="9">
        <f t="shared" si="2"/>
        <v>91999.997384860442</v>
      </c>
      <c r="K17" s="9">
        <f t="shared" si="2"/>
        <v>91999.996524688366</v>
      </c>
      <c r="L17" s="9">
        <f t="shared" si="2"/>
        <v>91999.995674368853</v>
      </c>
      <c r="M17" s="9">
        <f t="shared" si="2"/>
        <v>91999.994836309721</v>
      </c>
      <c r="N17" s="9">
        <f t="shared" si="2"/>
        <v>91999.994012888623</v>
      </c>
      <c r="O17" s="9">
        <f t="shared" si="2"/>
        <v>91999.993206437299</v>
      </c>
      <c r="P17" s="9">
        <f t="shared" si="2"/>
        <v>91999.992419244736</v>
      </c>
      <c r="Q17" s="9">
        <f t="shared" si="2"/>
        <v>91999.991653538746</v>
      </c>
      <c r="R17" s="9">
        <f t="shared" si="2"/>
        <v>91999.990911493791</v>
      </c>
      <c r="S17" s="9">
        <f t="shared" si="2"/>
        <v>91999.990195209044</v>
      </c>
      <c r="T17" s="9">
        <f t="shared" si="2"/>
        <v>91999.989506719328</v>
      </c>
      <c r="U17" s="9">
        <f t="shared" si="2"/>
        <v>91999.988847971617</v>
      </c>
      <c r="V17" s="9">
        <f t="shared" si="2"/>
        <v>91999.988220837593</v>
      </c>
      <c r="W17" s="9">
        <f t="shared" si="2"/>
        <v>91999.987627091265</v>
      </c>
      <c r="X17" s="9">
        <f t="shared" si="2"/>
        <v>91999.987068418384</v>
      </c>
      <c r="Y17" s="9">
        <f t="shared" si="2"/>
        <v>91999.986546400789</v>
      </c>
      <c r="Z17" s="9">
        <f t="shared" si="2"/>
        <v>91999.986062519471</v>
      </c>
      <c r="AA17" s="9">
        <f t="shared" si="2"/>
        <v>91999.985618145278</v>
      </c>
      <c r="AB17" s="9">
        <f t="shared" si="2"/>
        <v>91999.985214537985</v>
      </c>
      <c r="AC17" s="9">
        <f t="shared" si="2"/>
        <v>91999.984852841313</v>
      </c>
      <c r="AD17" s="9">
        <f t="shared" si="2"/>
        <v>91999.984534081304</v>
      </c>
      <c r="AE17" s="9">
        <f t="shared" si="2"/>
        <v>91999.984259160876</v>
      </c>
      <c r="AF17" s="9">
        <f t="shared" si="2"/>
        <v>91999.984028860315</v>
      </c>
      <c r="AG17" s="9">
        <f t="shared" si="2"/>
        <v>91999.98384383072</v>
      </c>
      <c r="AH17" s="9">
        <f t="shared" si="2"/>
        <v>91999.983704597675</v>
      </c>
      <c r="AI17" s="9">
        <f t="shared" si="2"/>
        <v>91999.983611556323</v>
      </c>
    </row>
  </sheetData>
  <conditionalFormatting sqref="F13:AJ13">
    <cfRule type="colorScale" priority="3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2">
      <colorScale>
        <cfvo type="min"/>
        <cfvo type="max"/>
        <color rgb="FF00B0F0"/>
        <color rgb="FFC0000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C0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FCDA8-E35E-47FC-ACC0-022E6211E0C0}">
  <dimension ref="B3:AJ20"/>
  <sheetViews>
    <sheetView tabSelected="1" zoomScale="58" zoomScaleNormal="70" workbookViewId="0">
      <selection activeCell="W42" sqref="W42"/>
    </sheetView>
  </sheetViews>
  <sheetFormatPr defaultRowHeight="14.4" x14ac:dyDescent="0.3"/>
  <cols>
    <col min="7" max="7" width="12.6640625" bestFit="1" customWidth="1"/>
    <col min="8" max="35" width="11.109375" bestFit="1" customWidth="1"/>
  </cols>
  <sheetData>
    <row r="3" spans="2:36" x14ac:dyDescent="0.3">
      <c r="B3" s="6" t="s">
        <v>0</v>
      </c>
      <c r="C3" s="6">
        <v>0.1</v>
      </c>
    </row>
    <row r="4" spans="2:36" x14ac:dyDescent="0.3">
      <c r="B4" s="6" t="s">
        <v>1</v>
      </c>
      <c r="C4" s="10">
        <f>C3/30</f>
        <v>3.3333333333333335E-3</v>
      </c>
    </row>
    <row r="5" spans="2:36" x14ac:dyDescent="0.3">
      <c r="B5" s="6" t="s">
        <v>2</v>
      </c>
      <c r="C5" s="10">
        <f>(C9*C8*C4^2)/(2*C10)</f>
        <v>0.4333333333333334</v>
      </c>
    </row>
    <row r="6" spans="2:36" x14ac:dyDescent="0.3">
      <c r="B6" s="6" t="s">
        <v>3</v>
      </c>
      <c r="C6" s="6">
        <v>1500</v>
      </c>
      <c r="D6">
        <v>1500.2000000000003</v>
      </c>
    </row>
    <row r="8" spans="2:36" x14ac:dyDescent="0.3">
      <c r="B8" s="6" t="s">
        <v>4</v>
      </c>
      <c r="C8" s="6">
        <v>460</v>
      </c>
    </row>
    <row r="9" spans="2:36" x14ac:dyDescent="0.3">
      <c r="B9" s="6" t="s">
        <v>12</v>
      </c>
      <c r="C9" s="6">
        <v>7800</v>
      </c>
    </row>
    <row r="10" spans="2:36" x14ac:dyDescent="0.3">
      <c r="B10" s="6" t="s">
        <v>6</v>
      </c>
      <c r="C10" s="6">
        <v>46</v>
      </c>
    </row>
    <row r="11" spans="2:36" x14ac:dyDescent="0.3"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2:36" x14ac:dyDescent="0.3">
      <c r="B12" s="6" t="s">
        <v>14</v>
      </c>
      <c r="C12" s="6">
        <v>300</v>
      </c>
      <c r="E12" t="s">
        <v>0</v>
      </c>
      <c r="F12" s="7">
        <v>0</v>
      </c>
      <c r="G12" s="8">
        <f t="shared" ref="G12:AJ12" si="0">F12+$C$4</f>
        <v>3.3333333333333335E-3</v>
      </c>
      <c r="H12" s="8">
        <f t="shared" si="0"/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2:36" x14ac:dyDescent="0.3">
      <c r="B13" s="6" t="s">
        <v>9</v>
      </c>
      <c r="C13" s="6">
        <v>1300</v>
      </c>
      <c r="E13" t="s">
        <v>7</v>
      </c>
      <c r="F13" s="9">
        <f>(G13+$C$12*$C$14*$C$4/$C$10)/(1+$C$14*$C$4/$C$10)</f>
        <v>1121.8713530164275</v>
      </c>
      <c r="G13" s="9">
        <v>1127.8269425310393</v>
      </c>
      <c r="H13" s="9">
        <v>1133.7810588240636</v>
      </c>
      <c r="I13" s="9">
        <v>1139.7336961632354</v>
      </c>
      <c r="J13" s="9">
        <v>1145.6848537016092</v>
      </c>
      <c r="K13" s="9">
        <v>1151.6345354804885</v>
      </c>
      <c r="L13" s="9">
        <v>1157.5827504158829</v>
      </c>
      <c r="M13" s="9">
        <v>1163.5295122693087</v>
      </c>
      <c r="N13" s="9">
        <v>1169.4748396020218</v>
      </c>
      <c r="O13" s="9">
        <v>1175.4187557140672</v>
      </c>
      <c r="P13" s="9">
        <v>1181.3612885669031</v>
      </c>
      <c r="Q13" s="9">
        <v>1187.3024706914894</v>
      </c>
      <c r="R13" s="9">
        <v>1193.2423390803383</v>
      </c>
      <c r="S13" s="9">
        <v>1199.1809350658436</v>
      </c>
      <c r="T13" s="9">
        <v>1205.118304183196</v>
      </c>
      <c r="U13" s="9">
        <v>1211.054496020543</v>
      </c>
      <c r="V13" s="9">
        <v>1216.9895640545958</v>
      </c>
      <c r="W13" s="9">
        <v>1222.923565474583</v>
      </c>
      <c r="X13" s="9">
        <v>1228.8565609927346</v>
      </c>
      <c r="Y13" s="9">
        <v>1234.7886146443348</v>
      </c>
      <c r="Z13" s="9">
        <v>1240.7197935756071</v>
      </c>
      <c r="AA13" s="9">
        <v>1246.6501678224852</v>
      </c>
      <c r="AB13" s="9">
        <v>1252.5798100787165</v>
      </c>
      <c r="AC13" s="9">
        <v>1258.5087954562559</v>
      </c>
      <c r="AD13" s="9">
        <v>1264.4372012366675</v>
      </c>
      <c r="AE13" s="9">
        <v>1270.3651066162856</v>
      </c>
      <c r="AF13" s="9">
        <v>1276.2925924442134</v>
      </c>
      <c r="AG13" s="9">
        <v>1282.2197409556002</v>
      </c>
      <c r="AH13" s="9">
        <v>1288.1466354997119</v>
      </c>
      <c r="AI13" s="9">
        <v>1294.0733602648313</v>
      </c>
      <c r="AJ13" s="9">
        <f>C13</f>
        <v>1300</v>
      </c>
    </row>
    <row r="14" spans="2:36" x14ac:dyDescent="0.3">
      <c r="B14" s="6" t="s">
        <v>13</v>
      </c>
      <c r="C14" s="6">
        <v>100</v>
      </c>
    </row>
    <row r="16" spans="2:36" x14ac:dyDescent="0.3">
      <c r="E16" t="s">
        <v>10</v>
      </c>
      <c r="G16" s="9">
        <f t="shared" ref="G16:AI16" si="1">G13+(($C$10*$C$5)/($C$9*$C$8))*( (H13-2*G13+F13)/($C$4^2))</f>
        <v>1127.8262059202457</v>
      </c>
      <c r="H16" s="9">
        <f t="shared" si="1"/>
        <v>1133.7803193471373</v>
      </c>
      <c r="I16" s="9">
        <f t="shared" si="1"/>
        <v>1139.7329562628365</v>
      </c>
      <c r="J16" s="9">
        <f t="shared" si="1"/>
        <v>1145.684115821862</v>
      </c>
      <c r="K16" s="9">
        <f t="shared" si="1"/>
        <v>1151.6338020587459</v>
      </c>
      <c r="L16" s="9">
        <f t="shared" si="1"/>
        <v>1157.5820238748986</v>
      </c>
      <c r="M16" s="9">
        <f t="shared" si="1"/>
        <v>1163.5287950089523</v>
      </c>
      <c r="N16" s="9">
        <f t="shared" si="1"/>
        <v>1169.4741339916879</v>
      </c>
      <c r="O16" s="9">
        <f t="shared" si="1"/>
        <v>1175.4180640844625</v>
      </c>
      <c r="P16" s="9">
        <f t="shared" si="1"/>
        <v>1181.3606132027783</v>
      </c>
      <c r="Q16" s="9">
        <f t="shared" si="1"/>
        <v>1187.3018138236207</v>
      </c>
      <c r="R16" s="9">
        <f t="shared" si="1"/>
        <v>1193.2417028786665</v>
      </c>
      <c r="S16" s="9">
        <f t="shared" si="1"/>
        <v>1199.1803216317671</v>
      </c>
      <c r="T16" s="9">
        <f t="shared" si="1"/>
        <v>1205.1177155431933</v>
      </c>
      <c r="U16" s="9">
        <f t="shared" si="1"/>
        <v>1211.053934118896</v>
      </c>
      <c r="V16" s="9">
        <f t="shared" si="1"/>
        <v>1216.989030747563</v>
      </c>
      <c r="W16" s="9">
        <f t="shared" si="1"/>
        <v>1222.9230625236651</v>
      </c>
      <c r="X16" s="9">
        <f t="shared" si="1"/>
        <v>1228.8560900594589</v>
      </c>
      <c r="Y16" s="9">
        <f t="shared" si="1"/>
        <v>1234.7881772841708</v>
      </c>
      <c r="Z16" s="9">
        <f t="shared" si="1"/>
        <v>1240.7193912334101</v>
      </c>
      <c r="AA16" s="9">
        <f t="shared" si="1"/>
        <v>1246.6498018271618</v>
      </c>
      <c r="AB16" s="9">
        <f t="shared" si="1"/>
        <v>1252.5794816393704</v>
      </c>
      <c r="AC16" s="9">
        <f t="shared" si="1"/>
        <v>1258.508505657692</v>
      </c>
      <c r="AD16" s="9">
        <f t="shared" si="1"/>
        <v>1264.4369510362708</v>
      </c>
      <c r="AE16" s="9">
        <f t="shared" si="1"/>
        <v>1270.3648968404405</v>
      </c>
      <c r="AF16" s="9">
        <f t="shared" si="1"/>
        <v>1276.2924237859429</v>
      </c>
      <c r="AG16" s="9">
        <f t="shared" si="1"/>
        <v>1282.2196139719626</v>
      </c>
      <c r="AH16" s="9">
        <f t="shared" si="1"/>
        <v>1288.1465506102159</v>
      </c>
      <c r="AI16" s="9">
        <f t="shared" si="1"/>
        <v>1294.073317749856</v>
      </c>
    </row>
    <row r="17" spans="2:2" x14ac:dyDescent="0.3">
      <c r="B17">
        <f>G13-B18</f>
        <v>1125.6530294875611</v>
      </c>
    </row>
    <row r="18" spans="2:2" x14ac:dyDescent="0.3">
      <c r="B18">
        <f>$C$12*$C$14*$C$4/$C$10</f>
        <v>2.1739130434782608</v>
      </c>
    </row>
    <row r="19" spans="2:2" x14ac:dyDescent="0.3">
      <c r="B19">
        <f>(1-($C$14*$C$4/$C$10))</f>
        <v>0.99275362318840576</v>
      </c>
    </row>
    <row r="20" spans="2:2" x14ac:dyDescent="0.3">
      <c r="B20">
        <f>B17/B19</f>
        <v>1133.8694749582733</v>
      </c>
    </row>
  </sheetData>
  <conditionalFormatting sqref="F13:AJ13">
    <cfRule type="colorScale" priority="4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max"/>
        <color rgb="FF00B0F0"/>
        <color rgb="FFC0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C00000"/>
      </colorScale>
    </cfRule>
    <cfRule type="colorScale" priority="1">
      <colorScale>
        <cfvo type="min"/>
        <cfvo type="percentile" val="50"/>
        <cfvo type="max"/>
        <color rgb="FFFF63C4"/>
        <color rgb="FFE7FD87"/>
        <color rgb="FFB738EA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ГУ1</vt:lpstr>
      <vt:lpstr>ГУ2</vt:lpstr>
      <vt:lpstr>ГУ3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bacha</dc:creator>
  <cp:lastModifiedBy>пользователь</cp:lastModifiedBy>
  <dcterms:created xsi:type="dcterms:W3CDTF">2015-06-05T18:17:20Z</dcterms:created>
  <dcterms:modified xsi:type="dcterms:W3CDTF">2021-09-29T17:30:56Z</dcterms:modified>
</cp:coreProperties>
</file>